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ceipts" state="visible" r:id="rId4"/>
    <sheet sheetId="2" name="Summary" state="visible" r:id="rId5"/>
  </sheets>
  <calcPr calcId="171027"/>
</workbook>
</file>

<file path=xl/sharedStrings.xml><?xml version="1.0" encoding="utf-8"?>
<sst xmlns="http://schemas.openxmlformats.org/spreadsheetml/2006/main" count="195" uniqueCount="72">
  <si>
    <t>Document Type</t>
  </si>
  <si>
    <t>Invoice Number</t>
  </si>
  <si>
    <t>Merchant Name</t>
  </si>
  <si>
    <t>Amount</t>
  </si>
  <si>
    <t>Currency</t>
  </si>
  <si>
    <t>Receipt Date</t>
  </si>
  <si>
    <t>Category</t>
  </si>
  <si>
    <t>Subtotal (Before Tax)</t>
  </si>
  <si>
    <t>Tax Amount</t>
  </si>
  <si>
    <t>Payment Method</t>
  </si>
  <si>
    <t>Purchase Order #</t>
  </si>
  <si>
    <t>Payment Reference</t>
  </si>
  <si>
    <t>Vendor Tax ID (VAT/EIN/BTW)</t>
  </si>
  <si>
    <t>Due Date</t>
  </si>
  <si>
    <t>Vendor Address</t>
  </si>
  <si>
    <t>Patient Date of Birth</t>
  </si>
  <si>
    <t>Treatment Date</t>
  </si>
  <si>
    <t>Insurance Claim Number</t>
  </si>
  <si>
    <t>Diagnosis Codes (ICD)</t>
  </si>
  <si>
    <t>Procedure Codes (CPT)</t>
  </si>
  <si>
    <t>Provider ID (AGB/NPI)</t>
  </si>
  <si>
    <t>Insurance Covered Amount</t>
  </si>
  <si>
    <t>Patient Responsibility Amount</t>
  </si>
  <si>
    <t>Notes</t>
  </si>
  <si>
    <t>medical_invoice</t>
  </si>
  <si>
    <t>4225 1190 2410 71</t>
  </si>
  <si>
    <t>Kroep Mondzorg</t>
  </si>
  <si>
    <t>EUR</t>
  </si>
  <si>
    <t>Healthcare</t>
  </si>
  <si>
    <t/>
  </si>
  <si>
    <t>61081647</t>
  </si>
  <si>
    <t>Lasondersingel 33, 7514 BN ENSCHEDE</t>
  </si>
  <si>
    <t>87000471</t>
  </si>
  <si>
    <t>6226 4852 1640 71</t>
  </si>
  <si>
    <t>Tandartspraktijk Huizinga</t>
  </si>
  <si>
    <t>Campuslaan 99, 7522 NE ENSCHEDE</t>
  </si>
  <si>
    <t>C002, X10</t>
  </si>
  <si>
    <t>12065201</t>
  </si>
  <si>
    <t>7226 4852 1660 71</t>
  </si>
  <si>
    <t>Campuslaan 99, 7522 NE Enschede</t>
  </si>
  <si>
    <t>0226 5442 9400 71</t>
  </si>
  <si>
    <t>6226 5442 9410 71</t>
  </si>
  <si>
    <t>X21</t>
  </si>
  <si>
    <t>40053 3817 2371</t>
  </si>
  <si>
    <t>Orthodontiepraktijk Oey</t>
  </si>
  <si>
    <t>Oldenzaalsestraat 130, 7514 DS ENSCHEDE</t>
  </si>
  <si>
    <t>F533A</t>
  </si>
  <si>
    <t>13-051288</t>
  </si>
  <si>
    <t>1226 7161 7650 71</t>
  </si>
  <si>
    <t>F126A</t>
  </si>
  <si>
    <t>6226 9736 6210 71</t>
  </si>
  <si>
    <t>F471A</t>
  </si>
  <si>
    <t>2227 1533 7540 71</t>
  </si>
  <si>
    <t>F517A</t>
  </si>
  <si>
    <t>5227 4217 0820 71</t>
  </si>
  <si>
    <t>TOTAL</t>
  </si>
  <si>
    <t>Receipt Summary</t>
  </si>
  <si>
    <t>Total Receipts:</t>
  </si>
  <si>
    <t>Total Amount:</t>
  </si>
  <si>
    <t>Total Tax:</t>
  </si>
  <si>
    <t>Average Amount:</t>
  </si>
  <si>
    <t>Breakdown by Category</t>
  </si>
  <si>
    <t>Count</t>
  </si>
  <si>
    <t>Total Amount</t>
  </si>
  <si>
    <t>Breakdown by Month</t>
  </si>
  <si>
    <t>Month</t>
  </si>
  <si>
    <t>2025-01</t>
  </si>
  <si>
    <t>2025-05</t>
  </si>
  <si>
    <t>2025-06</t>
  </si>
  <si>
    <t>2025-07</t>
  </si>
  <si>
    <t>2025-08</t>
  </si>
  <si>
    <t>2025-09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</si>
</sst>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mm/dd/yyyy"/>
  </numFmts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</font>
    <font>
      <b/>
      <sz val="12"/>
    </font>
    <font>
      <b/>
      <color rgb="FF2563EB"/>
      <sz val="16"/>
    </font>
    <font>
      <b/>
      <sz val="14"/>
    </font>
  </fonts>
  <fills count="5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9FAFB"/>
      </patternFill>
    </fill>
    <fill>
      <patternFill patternType="solid">
        <fgColor rgb="FFE5E7EB"/>
      </patternFill>
    </fill>
  </fills>
  <borders count="2">
    <border>
      <left/>
      <right/>
      <top/>
      <bottom/>
      <diagonal/>
    </border>
    <border>
      <left/>
      <right/>
      <top style="double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164" fontId="2" fillId="3" borderId="0" xfId="0" applyNumberFormat="1" applyFont="1" applyFill="1"/>
    <xf numFmtId="165" fontId="0" fillId="3" borderId="0" xfId="0" applyNumberFormat="1" applyFill="1"/>
    <xf numFmtId="164" fontId="0" fillId="3" borderId="0" xfId="0" applyNumberFormat="1" applyFill="1"/>
    <xf numFmtId="164" fontId="0" fillId="0" borderId="0" xfId="0" applyNumberFormat="1"/>
    <xf numFmtId="165" fontId="0" fillId="0" borderId="0" xfId="0" applyNumberFormat="1"/>
    <xf numFmtId="164" fontId="2" fillId="0" borderId="0" xfId="0" applyNumberFormat="1" applyFont="1"/>
    <xf numFmtId="0" fontId="0" fillId="0" borderId="1" xfId="0" applyBorder="1"/>
    <xf numFmtId="0" fontId="3" fillId="0" borderId="1" xfId="0" applyFont="1" applyBorder="1"/>
    <xf numFmtId="164" fontId="2" fillId="0" borderId="1" xfId="0" applyNumberFormat="1" applyFont="1" applyBorder="1"/>
    <xf numFmtId="0" fontId="4" fillId="0" borderId="0" xfId="0" applyFont="1"/>
    <xf numFmtId="0" fontId="2" fillId="0" borderId="0" xfId="0" applyFont="1"/>
    <xf numFmtId="0" fontId="5" fillId="0" borderId="0" xfId="0" applyFont="1"/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5" customWidth="1"/>
    <col min="4" max="4" width="12" customWidth="1"/>
    <col min="5" max="5" width="10" customWidth="1"/>
    <col min="6" max="6" width="12" customWidth="1"/>
    <col min="7" max="7" width="18" customWidth="1"/>
    <col min="8" max="9" width="12" customWidth="1"/>
    <col min="10" max="12" width="16" customWidth="1"/>
    <col min="13" max="13" width="18" customWidth="1"/>
    <col min="14" max="14" width="12" customWidth="1"/>
    <col min="15" max="15" width="35" customWidth="1"/>
    <col min="16" max="17" width="14" customWidth="1"/>
    <col min="18" max="18" width="18" customWidth="1"/>
    <col min="19" max="20" width="20" customWidth="1"/>
    <col min="21" max="21" width="16" customWidth="1"/>
    <col min="22" max="23" width="18" customWidth="1"/>
    <col min="24" max="24" width="30" customWidth="1"/>
  </cols>
  <sheetData>
    <row r="1" ht="20" customHeight="1" spans="1:2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s="2" customFormat="1" x14ac:dyDescent="0.25">
      <c r="A2" s="2" t="s">
        <v>24</v>
      </c>
      <c r="B2" s="2" t="s">
        <v>25</v>
      </c>
      <c r="C2" s="2" t="s">
        <v>26</v>
      </c>
      <c r="D2" s="3">
        <v>133.24</v>
      </c>
      <c r="E2" s="2" t="s">
        <v>27</v>
      </c>
      <c r="F2" s="4">
        <v>45672</v>
      </c>
      <c r="G2" s="2" t="s">
        <v>28</v>
      </c>
      <c r="H2" s="5">
        <v>133.24</v>
      </c>
      <c r="I2" s="5"/>
      <c r="J2" s="2" t="s">
        <v>29</v>
      </c>
      <c r="K2" s="2" t="s">
        <v>29</v>
      </c>
      <c r="L2" s="2" t="s">
        <v>29</v>
      </c>
      <c r="M2" s="2" t="s">
        <v>30</v>
      </c>
      <c r="N2" s="4">
        <v>45702</v>
      </c>
      <c r="O2" s="2" t="s">
        <v>31</v>
      </c>
      <c r="P2" s="4">
        <v>30077</v>
      </c>
      <c r="Q2" s="4">
        <v>45630</v>
      </c>
      <c r="R2" s="2" t="s">
        <v>29</v>
      </c>
      <c r="S2" s="2" t="s">
        <v>29</v>
      </c>
      <c r="T2" s="2" t="s">
        <v>29</v>
      </c>
      <c r="U2" s="2" t="s">
        <v>32</v>
      </c>
      <c r="V2" s="5">
        <v>1.45</v>
      </c>
      <c r="W2" s="5">
        <v>131.79</v>
      </c>
      <c r="X2" s="2" t="s">
        <v>29</v>
      </c>
    </row>
    <row r="3" spans="1:24" x14ac:dyDescent="0.25">
      <c r="A3" t="s">
        <v>24</v>
      </c>
      <c r="B3" t="s">
        <v>33</v>
      </c>
      <c r="C3" t="s">
        <v>34</v>
      </c>
      <c r="D3" s="6">
        <v>71.31</v>
      </c>
      <c r="E3" t="s">
        <v>27</v>
      </c>
      <c r="F3" s="7">
        <v>45805</v>
      </c>
      <c r="G3" t="s">
        <v>28</v>
      </c>
      <c r="H3" s="6"/>
      <c r="I3" s="6"/>
      <c r="J3" t="s">
        <v>29</v>
      </c>
      <c r="K3" t="s">
        <v>29</v>
      </c>
      <c r="L3" t="s">
        <v>29</v>
      </c>
      <c r="M3" t="s">
        <v>29</v>
      </c>
      <c r="N3" s="7">
        <v>45835</v>
      </c>
      <c r="O3" t="s">
        <v>35</v>
      </c>
      <c r="P3" s="7">
        <v>29397</v>
      </c>
      <c r="Q3" s="7">
        <v>45797</v>
      </c>
      <c r="R3" t="s">
        <v>29</v>
      </c>
      <c r="S3" t="s">
        <v>29</v>
      </c>
      <c r="T3" t="s">
        <v>36</v>
      </c>
      <c r="U3" t="s">
        <v>37</v>
      </c>
      <c r="V3" s="6">
        <v>53.48</v>
      </c>
      <c r="W3" s="6">
        <v>17.83</v>
      </c>
      <c r="X3" t="s">
        <v>29</v>
      </c>
    </row>
    <row r="4" spans="1:24" s="2" customFormat="1" x14ac:dyDescent="0.25">
      <c r="A4" s="2" t="s">
        <v>24</v>
      </c>
      <c r="B4" s="2" t="s">
        <v>38</v>
      </c>
      <c r="C4" s="2" t="s">
        <v>34</v>
      </c>
      <c r="D4" s="5">
        <v>28.83</v>
      </c>
      <c r="E4" s="2" t="s">
        <v>27</v>
      </c>
      <c r="F4" s="4">
        <v>45805</v>
      </c>
      <c r="G4" s="2" t="s">
        <v>28</v>
      </c>
      <c r="H4" s="5"/>
      <c r="I4" s="5"/>
      <c r="J4" s="2" t="s">
        <v>29</v>
      </c>
      <c r="K4" s="2" t="s">
        <v>29</v>
      </c>
      <c r="L4" s="2" t="s">
        <v>29</v>
      </c>
      <c r="M4" s="2" t="s">
        <v>29</v>
      </c>
      <c r="N4" s="4">
        <v>45835</v>
      </c>
      <c r="O4" s="2" t="s">
        <v>39</v>
      </c>
      <c r="P4" s="4">
        <v>30077</v>
      </c>
      <c r="Q4" s="4">
        <v>45797</v>
      </c>
      <c r="R4" s="2" t="s">
        <v>29</v>
      </c>
      <c r="S4" s="2" t="s">
        <v>29</v>
      </c>
      <c r="T4" s="2" t="s">
        <v>29</v>
      </c>
      <c r="U4" s="2" t="s">
        <v>37</v>
      </c>
      <c r="V4" s="5">
        <v>21.62</v>
      </c>
      <c r="W4" s="5">
        <v>7.21</v>
      </c>
      <c r="X4" s="2" t="s">
        <v>29</v>
      </c>
    </row>
    <row r="5" spans="1:24" x14ac:dyDescent="0.25">
      <c r="A5" t="s">
        <v>24</v>
      </c>
      <c r="B5" t="s">
        <v>40</v>
      </c>
      <c r="C5" t="s">
        <v>34</v>
      </c>
      <c r="D5" s="6">
        <v>98.63</v>
      </c>
      <c r="E5" t="s">
        <v>27</v>
      </c>
      <c r="F5" s="7">
        <v>45812</v>
      </c>
      <c r="G5" t="s">
        <v>28</v>
      </c>
      <c r="H5" s="6"/>
      <c r="I5" s="6"/>
      <c r="J5" t="s">
        <v>29</v>
      </c>
      <c r="K5" t="s">
        <v>29</v>
      </c>
      <c r="L5" t="s">
        <v>29</v>
      </c>
      <c r="M5" t="s">
        <v>29</v>
      </c>
      <c r="N5" s="7">
        <v>45842</v>
      </c>
      <c r="O5" t="s">
        <v>39</v>
      </c>
      <c r="P5" s="7">
        <v>29397</v>
      </c>
      <c r="Q5" s="7">
        <v>45805</v>
      </c>
      <c r="R5" t="s">
        <v>29</v>
      </c>
      <c r="S5" t="s">
        <v>29</v>
      </c>
      <c r="T5" t="s">
        <v>29</v>
      </c>
      <c r="U5" t="s">
        <v>37</v>
      </c>
      <c r="V5" s="6">
        <v>73.98</v>
      </c>
      <c r="W5" s="6">
        <v>24.65</v>
      </c>
      <c r="X5" t="s">
        <v>29</v>
      </c>
    </row>
    <row r="6" spans="1:24" s="2" customFormat="1" x14ac:dyDescent="0.25">
      <c r="A6" s="2" t="s">
        <v>24</v>
      </c>
      <c r="B6" s="2" t="s">
        <v>41</v>
      </c>
      <c r="C6" s="2" t="s">
        <v>34</v>
      </c>
      <c r="D6" s="5">
        <v>91.04</v>
      </c>
      <c r="E6" s="2" t="s">
        <v>27</v>
      </c>
      <c r="F6" s="4">
        <v>45812</v>
      </c>
      <c r="G6" s="2" t="s">
        <v>28</v>
      </c>
      <c r="H6" s="5"/>
      <c r="I6" s="5"/>
      <c r="J6" s="2" t="s">
        <v>29</v>
      </c>
      <c r="K6" s="2" t="s">
        <v>29</v>
      </c>
      <c r="L6" s="2" t="s">
        <v>29</v>
      </c>
      <c r="M6" s="2" t="s">
        <v>29</v>
      </c>
      <c r="N6" s="4">
        <v>45842</v>
      </c>
      <c r="O6" s="2" t="s">
        <v>39</v>
      </c>
      <c r="P6" s="4">
        <v>30077</v>
      </c>
      <c r="Q6" s="4">
        <v>45805</v>
      </c>
      <c r="R6" s="2" t="s">
        <v>29</v>
      </c>
      <c r="S6" s="2" t="s">
        <v>29</v>
      </c>
      <c r="T6" s="2" t="s">
        <v>42</v>
      </c>
      <c r="U6" s="2" t="s">
        <v>37</v>
      </c>
      <c r="V6" s="5">
        <v>68.28</v>
      </c>
      <c r="W6" s="5">
        <v>22.76</v>
      </c>
      <c r="X6" s="2" t="s">
        <v>29</v>
      </c>
    </row>
    <row r="7" spans="1:24" x14ac:dyDescent="0.25">
      <c r="A7" t="s">
        <v>24</v>
      </c>
      <c r="B7" t="s">
        <v>43</v>
      </c>
      <c r="C7" t="s">
        <v>44</v>
      </c>
      <c r="D7" s="6">
        <v>52.14</v>
      </c>
      <c r="E7" t="s">
        <v>27</v>
      </c>
      <c r="F7" s="7">
        <v>45819</v>
      </c>
      <c r="G7" t="s">
        <v>28</v>
      </c>
      <c r="H7" s="6">
        <v>52.14</v>
      </c>
      <c r="I7" s="6"/>
      <c r="J7" t="s">
        <v>29</v>
      </c>
      <c r="K7" t="s">
        <v>29</v>
      </c>
      <c r="L7" t="s">
        <v>29</v>
      </c>
      <c r="M7" t="s">
        <v>29</v>
      </c>
      <c r="N7" s="7">
        <v>45849</v>
      </c>
      <c r="O7" t="s">
        <v>45</v>
      </c>
      <c r="P7" s="7">
        <v>40122</v>
      </c>
      <c r="Q7" s="7">
        <v>45812</v>
      </c>
      <c r="R7" t="s">
        <v>29</v>
      </c>
      <c r="S7" t="s">
        <v>29</v>
      </c>
      <c r="T7" t="s">
        <v>46</v>
      </c>
      <c r="U7" t="s">
        <v>47</v>
      </c>
      <c r="V7" s="6"/>
      <c r="W7" s="6">
        <v>52.14</v>
      </c>
      <c r="X7" t="s">
        <v>29</v>
      </c>
    </row>
    <row r="8" spans="1:24" s="2" customFormat="1" x14ac:dyDescent="0.25">
      <c r="A8" s="2" t="s">
        <v>24</v>
      </c>
      <c r="B8" s="2" t="s">
        <v>48</v>
      </c>
      <c r="C8" s="2" t="s">
        <v>34</v>
      </c>
      <c r="D8" s="5">
        <v>77.17</v>
      </c>
      <c r="E8" s="2" t="s">
        <v>27</v>
      </c>
      <c r="F8" s="4">
        <v>45833</v>
      </c>
      <c r="G8" s="2" t="s">
        <v>28</v>
      </c>
      <c r="H8" s="5">
        <v>77.17</v>
      </c>
      <c r="I8" s="5"/>
      <c r="J8" s="2" t="s">
        <v>29</v>
      </c>
      <c r="K8" s="2" t="s">
        <v>29</v>
      </c>
      <c r="L8" s="2" t="s">
        <v>29</v>
      </c>
      <c r="M8" s="2" t="s">
        <v>29</v>
      </c>
      <c r="N8" s="4">
        <v>45863</v>
      </c>
      <c r="O8" s="2" t="s">
        <v>39</v>
      </c>
      <c r="P8" s="4">
        <v>30077</v>
      </c>
      <c r="Q8" s="4">
        <v>45825</v>
      </c>
      <c r="R8" s="2" t="s">
        <v>29</v>
      </c>
      <c r="S8" s="2" t="s">
        <v>29</v>
      </c>
      <c r="T8" s="2" t="s">
        <v>49</v>
      </c>
      <c r="U8" s="2" t="s">
        <v>37</v>
      </c>
      <c r="V8" s="5"/>
      <c r="W8" s="5">
        <v>77.17</v>
      </c>
      <c r="X8" s="2" t="s">
        <v>29</v>
      </c>
    </row>
    <row r="9" spans="1:24" x14ac:dyDescent="0.25">
      <c r="A9" t="s">
        <v>24</v>
      </c>
      <c r="B9" t="s">
        <v>50</v>
      </c>
      <c r="C9" t="s">
        <v>34</v>
      </c>
      <c r="D9" s="8">
        <v>1506.89</v>
      </c>
      <c r="E9" t="s">
        <v>27</v>
      </c>
      <c r="F9" s="7">
        <v>45863</v>
      </c>
      <c r="G9" t="s">
        <v>28</v>
      </c>
      <c r="H9" s="6"/>
      <c r="I9" s="6"/>
      <c r="J9" t="s">
        <v>29</v>
      </c>
      <c r="K9" t="s">
        <v>29</v>
      </c>
      <c r="L9" t="s">
        <v>29</v>
      </c>
      <c r="M9" t="s">
        <v>29</v>
      </c>
      <c r="N9" s="7">
        <v>45893</v>
      </c>
      <c r="O9" t="s">
        <v>39</v>
      </c>
      <c r="P9" s="7">
        <v>30077</v>
      </c>
      <c r="Q9" s="7">
        <v>45854</v>
      </c>
      <c r="R9" t="s">
        <v>29</v>
      </c>
      <c r="S9" t="s">
        <v>29</v>
      </c>
      <c r="T9" t="s">
        <v>51</v>
      </c>
      <c r="U9" t="s">
        <v>37</v>
      </c>
      <c r="V9" s="6"/>
      <c r="W9" s="6">
        <v>1506.89</v>
      </c>
      <c r="X9" t="s">
        <v>29</v>
      </c>
    </row>
    <row r="10" spans="1:24" s="2" customFormat="1" x14ac:dyDescent="0.25">
      <c r="A10" s="2" t="s">
        <v>24</v>
      </c>
      <c r="B10" s="2" t="s">
        <v>52</v>
      </c>
      <c r="C10" s="2" t="s">
        <v>34</v>
      </c>
      <c r="D10" s="5">
        <v>52.14</v>
      </c>
      <c r="E10" s="2" t="s">
        <v>27</v>
      </c>
      <c r="F10" s="4">
        <v>45890</v>
      </c>
      <c r="G10" s="2" t="s">
        <v>28</v>
      </c>
      <c r="H10" s="5">
        <v>52.14</v>
      </c>
      <c r="I10" s="5"/>
      <c r="J10" s="2" t="s">
        <v>29</v>
      </c>
      <c r="K10" s="2" t="s">
        <v>29</v>
      </c>
      <c r="L10" s="2" t="s">
        <v>29</v>
      </c>
      <c r="M10" s="2" t="s">
        <v>29</v>
      </c>
      <c r="N10" s="4">
        <v>45920</v>
      </c>
      <c r="O10" s="2" t="s">
        <v>39</v>
      </c>
      <c r="P10" s="4">
        <v>30077</v>
      </c>
      <c r="Q10" s="4">
        <v>45882</v>
      </c>
      <c r="R10" s="2" t="s">
        <v>29</v>
      </c>
      <c r="S10" s="2" t="s">
        <v>29</v>
      </c>
      <c r="T10" s="2" t="s">
        <v>53</v>
      </c>
      <c r="U10" s="2" t="s">
        <v>37</v>
      </c>
      <c r="V10" s="5"/>
      <c r="W10" s="5">
        <v>52.14</v>
      </c>
      <c r="X10" s="2" t="s">
        <v>29</v>
      </c>
    </row>
    <row r="11" spans="1:24" x14ac:dyDescent="0.25">
      <c r="A11" t="s">
        <v>24</v>
      </c>
      <c r="B11" t="s">
        <v>54</v>
      </c>
      <c r="C11" t="s">
        <v>34</v>
      </c>
      <c r="D11" s="6">
        <v>52.14</v>
      </c>
      <c r="E11" t="s">
        <v>27</v>
      </c>
      <c r="F11" s="7">
        <v>45924</v>
      </c>
      <c r="G11" t="s">
        <v>28</v>
      </c>
      <c r="H11" s="6">
        <v>52.14</v>
      </c>
      <c r="I11" s="6"/>
      <c r="J11" t="s">
        <v>29</v>
      </c>
      <c r="K11" t="s">
        <v>29</v>
      </c>
      <c r="L11" t="s">
        <v>29</v>
      </c>
      <c r="M11" t="s">
        <v>29</v>
      </c>
      <c r="N11" s="7">
        <v>45954</v>
      </c>
      <c r="O11" t="s">
        <v>39</v>
      </c>
      <c r="P11" s="7">
        <v>30077</v>
      </c>
      <c r="Q11" s="7">
        <v>45918</v>
      </c>
      <c r="R11" t="s">
        <v>29</v>
      </c>
      <c r="S11" t="s">
        <v>29</v>
      </c>
      <c r="T11" t="s">
        <v>53</v>
      </c>
      <c r="U11" t="s">
        <v>37</v>
      </c>
      <c r="V11" s="6"/>
      <c r="W11" s="6">
        <v>52.14</v>
      </c>
      <c r="X11" t="s">
        <v>29</v>
      </c>
    </row>
    <row r="12" spans="3:9" s="9" customFormat="1" x14ac:dyDescent="0.25">
      <c r="C12" s="10" t="s">
        <v>55</v>
      </c>
      <c r="D12" s="11">
        <f>SUM(D2:D11)</f>
        <v>2163.5299999999997</v>
      </c>
      <c r="I12" s="11">
        <f>SUM(I2:I11)</f>
        <v>0</v>
      </c>
    </row>
  </sheetData>
  <autoFilter ref="A1:X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/>
  </sheetViews>
  <sheetFormatPr defaultRowHeight="15" outlineLevelRow="0" outlineLevelCol="0" x14ac:dyDescent="55"/>
  <cols>
    <col min="1" max="1" width="20" customWidth="1"/>
    <col min="2" max="2" width="12" customWidth="1"/>
    <col min="3" max="3" width="15" customWidth="1"/>
  </cols>
  <sheetData>
    <row r="1" spans="1:2" x14ac:dyDescent="0.25">
      <c r="A1" s="12" t="s">
        <v>56</v>
      </c>
      <c r="B1" s="12"/>
    </row>
    <row r="3" spans="1:2" x14ac:dyDescent="0.25">
      <c r="A3" t="s">
        <v>57</v>
      </c>
      <c r="B3" s="13">
        <v>10</v>
      </c>
    </row>
    <row r="4" spans="1:2" x14ac:dyDescent="0.25">
      <c r="A4" t="s">
        <v>58</v>
      </c>
      <c r="B4" s="8">
        <v>2163.5299999999997</v>
      </c>
    </row>
    <row r="5" spans="1:2" x14ac:dyDescent="0.25">
      <c r="A5" t="s">
        <v>59</v>
      </c>
      <c r="B5" s="8">
        <v>0</v>
      </c>
    </row>
    <row r="6" spans="1:2" x14ac:dyDescent="0.25">
      <c r="A6" t="s">
        <v>60</v>
      </c>
      <c r="B6" s="8">
        <v>216.35299999999998</v>
      </c>
    </row>
    <row r="8" spans="1:3" x14ac:dyDescent="0.25">
      <c r="A8" s="14" t="s">
        <v>61</v>
      </c>
      <c r="B8" s="14"/>
      <c r="C8" s="14"/>
    </row>
    <row r="9" spans="1:3" s="15" customFormat="1" x14ac:dyDescent="0.25">
      <c r="A9" s="15" t="s">
        <v>6</v>
      </c>
      <c r="B9" s="15" t="s">
        <v>62</v>
      </c>
      <c r="C9" s="15" t="s">
        <v>63</v>
      </c>
    </row>
    <row r="10" spans="1:3" x14ac:dyDescent="0.25">
      <c r="A10" t="s">
        <v>28</v>
      </c>
      <c r="B10">
        <v>10</v>
      </c>
      <c r="C10" s="6">
        <v>2163.5299999999997</v>
      </c>
    </row>
    <row r="13" spans="1:3" x14ac:dyDescent="0.25">
      <c r="A13" s="14" t="s">
        <v>64</v>
      </c>
      <c r="B13" s="14"/>
      <c r="C13" s="14"/>
    </row>
    <row r="14" spans="1:3" s="15" customFormat="1" x14ac:dyDescent="0.25">
      <c r="A14" s="15" t="s">
        <v>65</v>
      </c>
      <c r="B14" s="15" t="s">
        <v>62</v>
      </c>
      <c r="C14" s="15" t="s">
        <v>63</v>
      </c>
    </row>
    <row r="15" spans="1:3" x14ac:dyDescent="0.25">
      <c r="A15" t="s">
        <v>66</v>
      </c>
      <c r="B15">
        <v>1</v>
      </c>
      <c r="C15" s="6">
        <v>133.24</v>
      </c>
    </row>
    <row r="16" spans="1:3" x14ac:dyDescent="0.25">
      <c r="A16" t="s">
        <v>67</v>
      </c>
      <c r="B16">
        <v>2</v>
      </c>
      <c r="C16" s="6">
        <v>100.14</v>
      </c>
    </row>
    <row r="17" spans="1:3" x14ac:dyDescent="0.25">
      <c r="A17" t="s">
        <v>68</v>
      </c>
      <c r="B17">
        <v>4</v>
      </c>
      <c r="C17" s="6">
        <v>318.98</v>
      </c>
    </row>
    <row r="18" spans="1:3" x14ac:dyDescent="0.25">
      <c r="A18" t="s">
        <v>69</v>
      </c>
      <c r="B18">
        <v>1</v>
      </c>
      <c r="C18" s="6">
        <v>1506.89</v>
      </c>
    </row>
    <row r="19" spans="1:3" x14ac:dyDescent="0.25">
      <c r="A19" t="s">
        <v>70</v>
      </c>
      <c r="B19">
        <v>1</v>
      </c>
      <c r="C19" s="6">
        <v>52.14</v>
      </c>
    </row>
    <row r="20" spans="1:3" x14ac:dyDescent="0.25">
      <c r="A20" t="s">
        <v>71</v>
      </c>
      <c r="B20">
        <v>1</v>
      </c>
      <c r="C20" s="6">
        <v>52.14</v>
      </c>
    </row>
  </sheetData>
  <mergeCells count="3">
    <mergeCell ref="A1:B1"/>
    <mergeCell ref="A8:C8"/>
    <mergeCell ref="A13:C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Receipts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ReceiptSort</dc:creator>
  <dc:title/>
  <dc:subject/>
  <dc:description/>
  <cp:keywords/>
  <cp:category/>
  <cp:lastModifiedBy>Unknown</cp:lastModifiedBy>
  <dcterms:created xsi:type="dcterms:W3CDTF">2025-11-04T15:45:16Z</dcterms:created>
  <dcterms:modified xsi:type="dcterms:W3CDTF">2025-11-04T15:45:16Z</dcterms:modified>
</cp:coreProperties>
</file>